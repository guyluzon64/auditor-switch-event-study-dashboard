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<sst xmlns="http://schemas.openxmlformats.org/spreadsheetml/2006/main" count="158" uniqueCount="146">
  <si>
    <t xml:space="preserve">mnn                                                                    </t>
  </si>
  <si>
    <t>ריכוז חברות</t>
  </si>
  <si>
    <t>חברה</t>
  </si>
  <si>
    <t>תאריך החלפה</t>
  </si>
  <si>
    <t>תאריך פרסום דוחות</t>
  </si>
  <si>
    <t>מחיר מניה לפני</t>
  </si>
  <si>
    <t>מחיר מניה אחרי</t>
  </si>
  <si>
    <t>שינוי באחוזים</t>
  </si>
  <si>
    <t>תשואת תיק השוק</t>
  </si>
  <si>
    <t>תשואה חריגה</t>
  </si>
  <si>
    <t>גודל החברה</t>
  </si>
  <si>
    <t>מעבר מbig4</t>
  </si>
  <si>
    <t>מעבר לbig4</t>
  </si>
  <si>
    <t>roe</t>
  </si>
  <si>
    <t>מינוף</t>
  </si>
  <si>
    <t>סך הנכסים</t>
  </si>
  <si>
    <t>הון עצמי</t>
  </si>
  <si>
    <t>רווח</t>
  </si>
  <si>
    <t>אבו מגורים</t>
  </si>
  <si>
    <t>16/11/2025</t>
  </si>
  <si>
    <t>19/3/2026</t>
  </si>
  <si>
    <t>גלובל פיי-ש</t>
  </si>
  <si>
    <t>19/02/2025</t>
  </si>
  <si>
    <t>31/3/2025</t>
  </si>
  <si>
    <t>אמיליה פיתוח )מ.עו.פ.( בע"מ</t>
  </si>
  <si>
    <t>17/02/2026</t>
  </si>
  <si>
    <t>30/3/2026</t>
  </si>
  <si>
    <t>שדה נדל"ן</t>
  </si>
  <si>
    <t>31/3/2024</t>
  </si>
  <si>
    <t>ספידווליו</t>
  </si>
  <si>
    <t>24/08/2025</t>
  </si>
  <si>
    <t>25/03/2026</t>
  </si>
  <si>
    <t>הום ביוגז</t>
  </si>
  <si>
    <t>17/07/2024</t>
  </si>
  <si>
    <t>26/03/2025</t>
  </si>
  <si>
    <t>0.37ֿ</t>
  </si>
  <si>
    <t>טוגדר</t>
  </si>
  <si>
    <t>28/07/2025</t>
  </si>
  <si>
    <t>26/03/2026</t>
  </si>
  <si>
    <t>אספן גרופ</t>
  </si>
  <si>
    <t>24\5\2026</t>
  </si>
  <si>
    <t>לא פורסם עדיין</t>
  </si>
  <si>
    <t>ג׳נסל בע״מ</t>
  </si>
  <si>
    <t>נופר אנרג׳י</t>
  </si>
  <si>
    <t>תמר פטרוליום</t>
  </si>
  <si>
    <t>31/3/2026</t>
  </si>
  <si>
    <t>אוברסיז</t>
  </si>
  <si>
    <t>16/2/2026</t>
  </si>
  <si>
    <t>מנדלסון תשתיות</t>
  </si>
  <si>
    <t>18/2/2026</t>
  </si>
  <si>
    <t>נקסט ג'ן ביומד בע"מ</t>
  </si>
  <si>
    <t>18/12/2022</t>
  </si>
  <si>
    <t>מנרב</t>
  </si>
  <si>
    <t>30/11/2022</t>
  </si>
  <si>
    <t>30/3/2023</t>
  </si>
  <si>
    <t>מיי טאון</t>
  </si>
  <si>
    <t>אגוד הנפקות</t>
  </si>
  <si>
    <t>30/9/2020</t>
  </si>
  <si>
    <t>אלקטרה נדל"ן</t>
  </si>
  <si>
    <t>18/03/2021</t>
  </si>
  <si>
    <t>אינרום בניה</t>
  </si>
  <si>
    <t>13/7/2025</t>
  </si>
  <si>
    <t>20/03/2026</t>
  </si>
  <si>
    <t>31/03/2021</t>
  </si>
  <si>
    <t>ברנד</t>
  </si>
  <si>
    <t>28/7/2025</t>
  </si>
  <si>
    <t>19/4/2026</t>
  </si>
  <si>
    <t>שירותי בנק אוטו</t>
  </si>
  <si>
    <t>16/08/2020</t>
  </si>
  <si>
    <t>25/03/2021</t>
  </si>
  <si>
    <t>אוטונומוס</t>
  </si>
  <si>
    <t>30/07/2025</t>
  </si>
  <si>
    <t>30/03/2026</t>
  </si>
  <si>
    <t>חג׳ג׳ אירופה</t>
  </si>
  <si>
    <t>6.11.2025</t>
  </si>
  <si>
    <t>20/04/2026</t>
  </si>
  <si>
    <t>אקסיליון</t>
  </si>
  <si>
    <t>26/03/2021</t>
  </si>
  <si>
    <t>בוני תיכון</t>
  </si>
  <si>
    <t>ישראל קנדה מלונות</t>
  </si>
  <si>
    <t>24.03.2026</t>
  </si>
  <si>
    <t> נקסטייג׳</t>
  </si>
  <si>
    <t>12.11.2025</t>
  </si>
  <si>
    <t>20.04.2026</t>
  </si>
  <si>
    <t>אפריקה מגורים</t>
  </si>
  <si>
    <t>23/07/2020</t>
  </si>
  <si>
    <t>17/03/2021</t>
  </si>
  <si>
    <t>דורסל</t>
  </si>
  <si>
    <t>7.1.2026</t>
  </si>
  <si>
    <t>31.03.2026</t>
  </si>
  <si>
    <t>תמיס</t>
  </si>
  <si>
    <t>12.01.2026</t>
  </si>
  <si>
    <t>ישראכרט</t>
  </si>
  <si>
    <t>16/07/2020</t>
  </si>
  <si>
    <t>17.03.2021</t>
  </si>
  <si>
    <t>בליץ</t>
  </si>
  <si>
    <t>28.01.2026</t>
  </si>
  <si>
    <t>פסיירקס ביוטק</t>
  </si>
  <si>
    <t>12.02.2026</t>
  </si>
  <si>
    <t>25.03.2026</t>
  </si>
  <si>
    <t>מלם-תים אחזקות</t>
  </si>
  <si>
    <t>8.4.2024</t>
  </si>
  <si>
    <t>13.06.2024</t>
  </si>
  <si>
    <t>מיטק</t>
  </si>
  <si>
    <t>22.04.2021</t>
  </si>
  <si>
    <t>פרידנזון</t>
  </si>
  <si>
    <t>14.05.2020</t>
  </si>
  <si>
    <t>02.03.2021</t>
  </si>
  <si>
    <t>מטריקס</t>
  </si>
  <si>
    <t>3.4.2024</t>
  </si>
  <si>
    <t>18.03.2024</t>
  </si>
  <si>
    <t>לאומי</t>
  </si>
  <si>
    <t>24.3.2020</t>
  </si>
  <si>
    <t>9.3.2021</t>
  </si>
  <si>
    <t>ברק בית השקעות</t>
  </si>
  <si>
    <t>17.3.2020</t>
  </si>
  <si>
    <t>30.3.2020</t>
  </si>
  <si>
    <t>שוהם ביזנס</t>
  </si>
  <si>
    <t>18.2.2024</t>
  </si>
  <si>
    <t>27.3.2024</t>
  </si>
  <si>
    <t>אימקו</t>
  </si>
  <si>
    <t>17.2.2020</t>
  </si>
  <si>
    <t>28.4.2020</t>
  </si>
  <si>
    <t>ווליו פ2פ</t>
  </si>
  <si>
    <t>02.02.2020</t>
  </si>
  <si>
    <t>23.3.2020</t>
  </si>
  <si>
    <t>ישראייר גרופ</t>
  </si>
  <si>
    <t>14.02.2024</t>
  </si>
  <si>
    <t>31.03.2024</t>
  </si>
  <si>
    <t>תעוזה</t>
  </si>
  <si>
    <t>28.1.2020</t>
  </si>
  <si>
    <t>29.3.2020</t>
  </si>
  <si>
    <t>א. לוי השקעות</t>
  </si>
  <si>
    <t>29.11.2019</t>
  </si>
  <si>
    <t>31.3.2020</t>
  </si>
  <si>
    <t>ביולייט</t>
  </si>
  <si>
    <t>10.11.2019</t>
  </si>
  <si>
    <t>איי ארגנטו</t>
  </si>
  <si>
    <t>11.02.2024</t>
  </si>
  <si>
    <t>7.4.2024</t>
  </si>
  <si>
    <t>אפי נכסים</t>
  </si>
  <si>
    <t>25.9.2019</t>
  </si>
  <si>
    <t>19.3.2020</t>
  </si>
  <si>
    <t>לפידות</t>
  </si>
  <si>
    <t>9.1.2024</t>
  </si>
  <si>
    <t>27.02.2024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</si>
</sst>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7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4" numFmtId="10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4" numFmtId="10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0" fontId="6" numFmtId="164" xfId="0" applyAlignment="1" applyBorder="1" applyFont="1" applyNumberFormat="1">
      <alignment horizontal="center" readingOrder="0"/>
    </xf>
    <xf borderId="1" fillId="0" fontId="4" numFmtId="9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1" fillId="0" fontId="4" numFmtId="165" xfId="0" applyAlignment="1" applyBorder="1" applyFont="1" applyNumberFormat="1">
      <alignment horizontal="center"/>
    </xf>
    <xf borderId="1" fillId="0" fontId="4" numFmtId="0" xfId="0" applyAlignment="1" applyBorder="1" applyFont="1">
      <alignment readingOrder="0"/>
    </xf>
    <xf borderId="1" fillId="0" fontId="4" numFmtId="10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/>
    </xf>
    <xf borderId="1" fillId="2" fontId="4" numFmtId="3" xfId="0" applyAlignment="1" applyBorder="1" applyFont="1" applyNumberFormat="1">
      <alignment horizontal="center" readingOrder="0"/>
    </xf>
    <xf borderId="0" fillId="2" fontId="4" numFmtId="0" xfId="0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aya.tase.co.il/he/reports/companies/1605761?attachmentType=htm" TargetMode="External"/><Relationship Id="rId10" Type="http://schemas.openxmlformats.org/officeDocument/2006/relationships/hyperlink" Target="https://maya.tase.co.il/he/reports/1730710" TargetMode="External"/><Relationship Id="rId13" Type="http://schemas.openxmlformats.org/officeDocument/2006/relationships/hyperlink" Target="https://maya.tase.co.il/he/reports/companies/1682146?attachmentType=htm" TargetMode="External"/><Relationship Id="rId12" Type="http://schemas.openxmlformats.org/officeDocument/2006/relationships/hyperlink" Target="https://maya.tase.co.il/he/reports/companies/1654197?attachmentType=pdf1" TargetMode="External"/><Relationship Id="rId1" Type="http://schemas.openxmlformats.org/officeDocument/2006/relationships/hyperlink" Target="https://maya.tase.co.il/he/reports/companies/1702863?attachmentType=htm" TargetMode="External"/><Relationship Id="rId2" Type="http://schemas.openxmlformats.org/officeDocument/2006/relationships/hyperlink" Target="https://maya.tase.co.il/he/reports/1729103?attachmentType=pdf1" TargetMode="External"/><Relationship Id="rId3" Type="http://schemas.openxmlformats.org/officeDocument/2006/relationships/hyperlink" Target="https://maya.tase.co.il/he/reports/1647275" TargetMode="External"/><Relationship Id="rId4" Type="http://schemas.openxmlformats.org/officeDocument/2006/relationships/hyperlink" Target="https://maya.tase.co.il/he/reports/1655397?attachmentType=pdf1" TargetMode="External"/><Relationship Id="rId9" Type="http://schemas.openxmlformats.org/officeDocument/2006/relationships/hyperlink" Target="https://mayafiles.tase.co.il/rhtm/1687001-1688000/H1687876.htm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maya.tase.co.il/he/reports/companies/1731184?attachmentType=pdf1" TargetMode="External"/><Relationship Id="rId5" Type="http://schemas.openxmlformats.org/officeDocument/2006/relationships/hyperlink" Target="https://maya.tase.co.il/he/reports/1723153" TargetMode="External"/><Relationship Id="rId6" Type="http://schemas.openxmlformats.org/officeDocument/2006/relationships/hyperlink" Target="https://maya.tase.co.il/he/reports/1732591?attachmentType=pdf1" TargetMode="External"/><Relationship Id="rId7" Type="http://schemas.openxmlformats.org/officeDocument/2006/relationships/hyperlink" Target="https://maya.tase.co.il/he/reports/companies/1577727?attachmentType=htm" TargetMode="External"/><Relationship Id="rId8" Type="http://schemas.openxmlformats.org/officeDocument/2006/relationships/hyperlink" Target="https://maya.tase.co.il/he/reports/1584219?attachmentType=pdf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19.75"/>
    <col customWidth="1" min="3" max="3" width="10.25"/>
    <col customWidth="1" min="4" max="4" width="13.88"/>
    <col customWidth="1" min="5" max="5" width="10.88"/>
    <col customWidth="1" min="6" max="6" width="11.38"/>
  </cols>
  <sheetData>
    <row r="1">
      <c r="A1" s="1" t="s">
        <v>0</v>
      </c>
      <c r="B1" s="2" t="s">
        <v>1</v>
      </c>
    </row>
    <row r="2">
      <c r="A2" s="3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6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>
      <c r="A3" s="6">
        <v>1.0</v>
      </c>
      <c r="B3" s="4" t="s">
        <v>18</v>
      </c>
      <c r="C3" s="7" t="s">
        <v>19</v>
      </c>
      <c r="D3" s="7" t="s">
        <v>20</v>
      </c>
      <c r="E3" s="6">
        <v>959.21</v>
      </c>
      <c r="F3" s="6">
        <v>795.2</v>
      </c>
      <c r="G3" s="8">
        <f t="shared" ref="G3:G15" si="1">(F3-E3)/E3</f>
        <v>-0.170984456</v>
      </c>
      <c r="H3" s="9"/>
      <c r="I3" s="6"/>
      <c r="J3" s="6">
        <v>20.47</v>
      </c>
      <c r="K3" s="6">
        <v>0.0</v>
      </c>
      <c r="L3" s="6">
        <v>0.0</v>
      </c>
      <c r="M3" s="10">
        <v>0.025</v>
      </c>
      <c r="N3" s="6">
        <v>2.22</v>
      </c>
      <c r="O3" s="11">
        <v>7.745E8</v>
      </c>
      <c r="P3" s="11">
        <v>2.406E8</v>
      </c>
      <c r="Q3" s="11">
        <v>4540000.0</v>
      </c>
    </row>
    <row r="4">
      <c r="A4" s="6">
        <v>2.0</v>
      </c>
      <c r="B4" s="4" t="s">
        <v>21</v>
      </c>
      <c r="C4" s="7" t="s">
        <v>22</v>
      </c>
      <c r="D4" s="7" t="s">
        <v>23</v>
      </c>
      <c r="E4" s="6">
        <v>114.2</v>
      </c>
      <c r="F4" s="6">
        <v>118.0</v>
      </c>
      <c r="G4" s="8">
        <f t="shared" si="1"/>
        <v>0.03327495622</v>
      </c>
      <c r="H4" s="9"/>
      <c r="I4" s="6"/>
      <c r="J4" s="6">
        <v>16.71</v>
      </c>
      <c r="K4" s="6">
        <v>0.0</v>
      </c>
      <c r="L4" s="6">
        <v>0.0</v>
      </c>
      <c r="M4" s="10">
        <v>0.046</v>
      </c>
      <c r="N4" s="6">
        <v>0.62</v>
      </c>
      <c r="O4" s="11">
        <v>1.8E7</v>
      </c>
      <c r="P4" s="11">
        <v>1.11E7</v>
      </c>
      <c r="Q4" s="11">
        <v>510000.0</v>
      </c>
    </row>
    <row r="5">
      <c r="A5" s="6">
        <v>3.0</v>
      </c>
      <c r="B5" s="12" t="s">
        <v>24</v>
      </c>
      <c r="C5" s="7" t="s">
        <v>25</v>
      </c>
      <c r="D5" s="7" t="s">
        <v>26</v>
      </c>
      <c r="E5" s="6"/>
      <c r="F5" s="6"/>
      <c r="G5" s="8" t="str">
        <f t="shared" si="1"/>
        <v>#DIV/0!</v>
      </c>
      <c r="H5" s="9"/>
      <c r="I5" s="6"/>
      <c r="J5" s="6">
        <v>22.19</v>
      </c>
      <c r="K5" s="6">
        <v>0.0</v>
      </c>
      <c r="L5" s="6">
        <v>0.0</v>
      </c>
      <c r="M5" s="10">
        <v>0.097</v>
      </c>
      <c r="N5" s="6">
        <v>1.77</v>
      </c>
      <c r="O5" s="11">
        <v>4.34E9</v>
      </c>
      <c r="P5" s="11">
        <v>1.57E9</v>
      </c>
      <c r="Q5" s="11">
        <v>1.515E8</v>
      </c>
    </row>
    <row r="6">
      <c r="A6" s="6">
        <v>4.0</v>
      </c>
      <c r="B6" s="4" t="s">
        <v>27</v>
      </c>
      <c r="C6" s="13">
        <v>45415.0</v>
      </c>
      <c r="D6" s="7" t="s">
        <v>28</v>
      </c>
      <c r="E6" s="6">
        <v>226.0</v>
      </c>
      <c r="F6" s="6">
        <v>202.0</v>
      </c>
      <c r="G6" s="8">
        <f t="shared" si="1"/>
        <v>-0.1061946903</v>
      </c>
      <c r="H6" s="9"/>
      <c r="I6" s="6"/>
      <c r="J6" s="6">
        <v>16.54</v>
      </c>
      <c r="K6" s="6">
        <v>0.0</v>
      </c>
      <c r="L6" s="6">
        <v>0.0</v>
      </c>
      <c r="M6" s="10">
        <v>-1.034</v>
      </c>
      <c r="N6" s="6">
        <v>0.1</v>
      </c>
      <c r="O6" s="11">
        <v>1.53E7</v>
      </c>
      <c r="P6" s="11">
        <v>1.39E7</v>
      </c>
      <c r="Q6" s="11">
        <v>-1.44E7</v>
      </c>
    </row>
    <row r="7">
      <c r="A7" s="6">
        <v>5.0</v>
      </c>
      <c r="B7" s="4" t="s">
        <v>29</v>
      </c>
      <c r="C7" s="7" t="s">
        <v>30</v>
      </c>
      <c r="D7" s="7" t="s">
        <v>31</v>
      </c>
      <c r="E7" s="6">
        <v>324.9</v>
      </c>
      <c r="F7" s="6">
        <v>350.0</v>
      </c>
      <c r="G7" s="8">
        <f t="shared" si="1"/>
        <v>0.07725453986</v>
      </c>
      <c r="H7" s="9"/>
      <c r="I7" s="6"/>
      <c r="J7" s="6">
        <v>18.64</v>
      </c>
      <c r="K7" s="6">
        <v>1.0</v>
      </c>
      <c r="L7" s="6">
        <v>0.0</v>
      </c>
      <c r="M7" s="10">
        <v>0.089</v>
      </c>
      <c r="N7" s="6">
        <v>1.27</v>
      </c>
      <c r="O7" s="11">
        <v>1.246E8</v>
      </c>
      <c r="P7" s="11">
        <v>5.18E7</v>
      </c>
      <c r="Q7" s="11">
        <v>4860000.0</v>
      </c>
    </row>
    <row r="8">
      <c r="A8" s="6">
        <v>6.0</v>
      </c>
      <c r="B8" s="4" t="s">
        <v>32</v>
      </c>
      <c r="C8" s="7" t="s">
        <v>33</v>
      </c>
      <c r="D8" s="7" t="s">
        <v>34</v>
      </c>
      <c r="E8" s="6">
        <v>161.3</v>
      </c>
      <c r="F8" s="6">
        <v>151.3</v>
      </c>
      <c r="G8" s="8">
        <f t="shared" si="1"/>
        <v>-0.06199628022</v>
      </c>
      <c r="H8" s="9"/>
      <c r="I8" s="6"/>
      <c r="J8" s="6">
        <v>18.09</v>
      </c>
      <c r="K8" s="6">
        <v>1.0</v>
      </c>
      <c r="L8" s="6">
        <v>0.0</v>
      </c>
      <c r="M8" s="10">
        <v>-1.053</v>
      </c>
      <c r="N8" s="6" t="s">
        <v>35</v>
      </c>
      <c r="O8" s="11">
        <v>7.21E7</v>
      </c>
      <c r="P8" s="11">
        <v>5.29E7</v>
      </c>
      <c r="Q8" s="11">
        <v>-5.57E7</v>
      </c>
    </row>
    <row r="9">
      <c r="A9" s="6">
        <v>7.0</v>
      </c>
      <c r="B9" s="4" t="s">
        <v>36</v>
      </c>
      <c r="C9" s="7" t="s">
        <v>37</v>
      </c>
      <c r="D9" s="7" t="s">
        <v>38</v>
      </c>
      <c r="E9" s="6">
        <v>390.9</v>
      </c>
      <c r="F9" s="6">
        <v>393.6</v>
      </c>
      <c r="G9" s="8">
        <f t="shared" si="1"/>
        <v>0.006907137375</v>
      </c>
      <c r="H9" s="9"/>
      <c r="I9" s="6"/>
      <c r="J9" s="6">
        <v>18.85</v>
      </c>
      <c r="K9" s="6">
        <v>0.0</v>
      </c>
      <c r="L9" s="6">
        <v>0.0</v>
      </c>
      <c r="M9" s="10">
        <v>0.038</v>
      </c>
      <c r="N9" s="6">
        <v>2.07</v>
      </c>
      <c r="O9" s="11">
        <v>1.5398E8</v>
      </c>
      <c r="P9" s="11">
        <v>5.014E7</v>
      </c>
      <c r="Q9" s="11">
        <v>1920000.0</v>
      </c>
    </row>
    <row r="10">
      <c r="A10" s="6">
        <v>8.0</v>
      </c>
      <c r="B10" s="4" t="s">
        <v>39</v>
      </c>
      <c r="C10" s="6" t="s">
        <v>40</v>
      </c>
      <c r="D10" s="4" t="s">
        <v>41</v>
      </c>
      <c r="E10" s="6">
        <v>726.5</v>
      </c>
      <c r="F10" s="6">
        <v>738.6</v>
      </c>
      <c r="G10" s="8">
        <f t="shared" si="1"/>
        <v>0.01665519615</v>
      </c>
      <c r="H10" s="9"/>
      <c r="I10" s="6"/>
      <c r="J10" s="6">
        <v>22.03</v>
      </c>
      <c r="K10" s="6">
        <v>0.0</v>
      </c>
      <c r="L10" s="6">
        <v>0.0</v>
      </c>
      <c r="M10" s="14">
        <v>0.22</v>
      </c>
      <c r="N10" s="6">
        <v>2.66</v>
      </c>
      <c r="O10" s="11">
        <v>3.685E9</v>
      </c>
      <c r="P10" s="11">
        <v>1.008E9</v>
      </c>
      <c r="Q10" s="11">
        <v>2.219E7</v>
      </c>
    </row>
    <row r="11">
      <c r="A11" s="6">
        <v>9.0</v>
      </c>
      <c r="B11" s="4" t="s">
        <v>42</v>
      </c>
      <c r="C11" s="15">
        <v>46208.0</v>
      </c>
      <c r="D11" s="4" t="s">
        <v>41</v>
      </c>
      <c r="E11" s="6">
        <v>108.7</v>
      </c>
      <c r="F11" s="6">
        <v>91.0</v>
      </c>
      <c r="G11" s="8">
        <f t="shared" si="1"/>
        <v>-0.1628334867</v>
      </c>
      <c r="H11" s="9"/>
      <c r="I11" s="16"/>
      <c r="J11" s="16">
        <v>18.54</v>
      </c>
      <c r="K11" s="6">
        <v>1.0</v>
      </c>
      <c r="L11" s="6">
        <v>0.0</v>
      </c>
      <c r="M11" s="10">
        <v>-0.273</v>
      </c>
      <c r="N11" s="11">
        <v>1.11</v>
      </c>
      <c r="O11" s="11">
        <v>1.127E8</v>
      </c>
      <c r="P11" s="11">
        <v>5.35E7</v>
      </c>
      <c r="Q11" s="11">
        <v>-1.46E7</v>
      </c>
    </row>
    <row r="12">
      <c r="A12" s="6">
        <v>10.0</v>
      </c>
      <c r="B12" s="4" t="s">
        <v>43</v>
      </c>
      <c r="C12" s="17">
        <f>C11</f>
        <v>46208</v>
      </c>
      <c r="D12" s="4" t="s">
        <v>41</v>
      </c>
      <c r="E12" s="6">
        <v>19230.0</v>
      </c>
      <c r="F12" s="6">
        <v>25330.0</v>
      </c>
      <c r="G12" s="8">
        <f t="shared" si="1"/>
        <v>0.3172126885</v>
      </c>
      <c r="H12" s="9"/>
      <c r="I12" s="6"/>
      <c r="J12" s="6">
        <v>23.57</v>
      </c>
      <c r="K12" s="6">
        <v>0.0</v>
      </c>
      <c r="L12" s="6">
        <v>0.0</v>
      </c>
      <c r="M12" s="10">
        <v>0.073</v>
      </c>
      <c r="N12" s="6">
        <v>2.95</v>
      </c>
      <c r="O12" s="11">
        <v>1.716E10</v>
      </c>
      <c r="P12" s="11">
        <v>4.34E9</v>
      </c>
      <c r="Q12" s="11">
        <v>3.18E8</v>
      </c>
    </row>
    <row r="13">
      <c r="A13" s="6">
        <v>11.0</v>
      </c>
      <c r="B13" s="4" t="s">
        <v>44</v>
      </c>
      <c r="C13" s="6" t="s">
        <v>45</v>
      </c>
      <c r="D13" s="6" t="s">
        <v>20</v>
      </c>
      <c r="E13" s="6">
        <v>3245.93</v>
      </c>
      <c r="F13" s="6">
        <v>3270.0</v>
      </c>
      <c r="G13" s="8">
        <f t="shared" si="1"/>
        <v>0.007415440259</v>
      </c>
      <c r="H13" s="9"/>
      <c r="I13" s="6"/>
      <c r="J13" s="6">
        <v>22.47</v>
      </c>
      <c r="K13" s="6">
        <v>0.0</v>
      </c>
      <c r="L13" s="6">
        <v>0.0</v>
      </c>
      <c r="M13" s="10">
        <v>0.344</v>
      </c>
      <c r="N13" s="6">
        <v>1.69</v>
      </c>
      <c r="O13" s="11">
        <v>5.73E9</v>
      </c>
      <c r="P13" s="11">
        <v>2.13E9</v>
      </c>
      <c r="Q13" s="11">
        <v>7.34E8</v>
      </c>
    </row>
    <row r="14">
      <c r="A14" s="6">
        <v>12.0</v>
      </c>
      <c r="B14" s="4" t="s">
        <v>46</v>
      </c>
      <c r="C14" s="6" t="s">
        <v>47</v>
      </c>
      <c r="D14" s="4" t="s">
        <v>41</v>
      </c>
      <c r="E14" s="6">
        <v>550.52</v>
      </c>
      <c r="F14" s="6">
        <v>528.12</v>
      </c>
      <c r="G14" s="8">
        <f t="shared" si="1"/>
        <v>-0.04068880331</v>
      </c>
      <c r="H14" s="9"/>
      <c r="I14" s="6"/>
      <c r="J14" s="6">
        <v>20.28</v>
      </c>
      <c r="K14" s="6">
        <v>0.0</v>
      </c>
      <c r="L14" s="6">
        <v>0.0</v>
      </c>
      <c r="M14" s="10">
        <v>0.038</v>
      </c>
      <c r="N14" s="6">
        <v>1.94</v>
      </c>
      <c r="O14" s="11">
        <v>6.419E8</v>
      </c>
      <c r="P14" s="11">
        <v>2.179E8</v>
      </c>
      <c r="Q14" s="11">
        <v>8300000.0</v>
      </c>
    </row>
    <row r="15">
      <c r="A15" s="6">
        <v>13.0</v>
      </c>
      <c r="B15" s="4" t="s">
        <v>48</v>
      </c>
      <c r="C15" s="6" t="s">
        <v>49</v>
      </c>
      <c r="D15" s="6" t="s">
        <v>20</v>
      </c>
      <c r="E15" s="6">
        <v>1345.7</v>
      </c>
      <c r="F15" s="6">
        <v>1344.7</v>
      </c>
      <c r="G15" s="8">
        <f t="shared" si="1"/>
        <v>-0.0007431076763</v>
      </c>
      <c r="H15" s="9"/>
      <c r="I15" s="6"/>
      <c r="J15" s="6">
        <v>20.71</v>
      </c>
      <c r="K15" s="6">
        <v>0.0</v>
      </c>
      <c r="L15" s="6">
        <v>0.0</v>
      </c>
      <c r="M15" s="14">
        <v>0.11</v>
      </c>
      <c r="N15" s="6">
        <v>1.0</v>
      </c>
      <c r="O15" s="11">
        <v>9.842E8</v>
      </c>
      <c r="P15" s="11">
        <v>4.953E8</v>
      </c>
      <c r="Q15" s="11">
        <v>5.46E7</v>
      </c>
    </row>
    <row r="16">
      <c r="A16" s="6">
        <v>14.0</v>
      </c>
      <c r="B16" s="4" t="s">
        <v>50</v>
      </c>
      <c r="C16" s="6" t="s">
        <v>51</v>
      </c>
      <c r="D16" s="4" t="s">
        <v>41</v>
      </c>
      <c r="E16" s="6">
        <v>412.8</v>
      </c>
      <c r="F16" s="6">
        <v>415.2</v>
      </c>
      <c r="G16" s="8">
        <f t="shared" ref="G16:G25" si="2">(F16/E16)/E16</f>
        <v>0.00243656481</v>
      </c>
      <c r="H16" s="9"/>
      <c r="I16" s="6"/>
      <c r="J16" s="6">
        <v>16.98</v>
      </c>
      <c r="K16" s="6">
        <v>0.0</v>
      </c>
      <c r="L16" s="6">
        <v>0.0</v>
      </c>
      <c r="M16" s="10">
        <v>-0.124</v>
      </c>
      <c r="N16" s="6">
        <v>0.15</v>
      </c>
      <c r="O16" s="11">
        <v>2.36E7</v>
      </c>
      <c r="P16" s="11">
        <v>2.06E7</v>
      </c>
      <c r="Q16" s="11">
        <v>2550000.0</v>
      </c>
    </row>
    <row r="17">
      <c r="A17" s="6">
        <v>15.0</v>
      </c>
      <c r="B17" s="4" t="s">
        <v>52</v>
      </c>
      <c r="C17" s="6" t="s">
        <v>53</v>
      </c>
      <c r="D17" s="6" t="s">
        <v>54</v>
      </c>
      <c r="E17" s="9"/>
      <c r="F17" s="9"/>
      <c r="G17" s="8" t="str">
        <f t="shared" si="2"/>
        <v>#DIV/0!</v>
      </c>
      <c r="H17" s="9"/>
      <c r="I17" s="6"/>
      <c r="J17" s="6">
        <v>21.71</v>
      </c>
      <c r="K17" s="6">
        <v>0.0</v>
      </c>
      <c r="L17" s="6">
        <v>0.0</v>
      </c>
      <c r="M17" s="10">
        <v>0.123</v>
      </c>
      <c r="N17" s="6">
        <v>2.49</v>
      </c>
      <c r="O17" s="11">
        <v>2.67E9</v>
      </c>
      <c r="P17" s="11">
        <v>7.644E8</v>
      </c>
      <c r="Q17" s="11">
        <v>9.42E7</v>
      </c>
    </row>
    <row r="18">
      <c r="A18" s="6">
        <v>16.0</v>
      </c>
      <c r="B18" s="4" t="s">
        <v>55</v>
      </c>
      <c r="C18" s="15">
        <v>45695.0</v>
      </c>
      <c r="D18" s="6" t="s">
        <v>45</v>
      </c>
      <c r="E18" s="9"/>
      <c r="F18" s="9"/>
      <c r="G18" s="8" t="str">
        <f t="shared" si="2"/>
        <v>#DIV/0!</v>
      </c>
      <c r="H18" s="9"/>
      <c r="I18" s="6"/>
      <c r="J18" s="6">
        <v>19.51</v>
      </c>
      <c r="K18" s="6">
        <v>0.0</v>
      </c>
      <c r="L18" s="6">
        <v>0.0</v>
      </c>
      <c r="M18" s="10">
        <v>-0.283</v>
      </c>
      <c r="N18" s="6">
        <v>6.26</v>
      </c>
      <c r="O18" s="11">
        <v>2.9095E8</v>
      </c>
      <c r="P18" s="11">
        <v>4.0783E7</v>
      </c>
      <c r="Q18" s="11">
        <v>-1.154E7</v>
      </c>
    </row>
    <row r="19">
      <c r="A19" s="6">
        <v>17.0</v>
      </c>
      <c r="B19" s="4" t="s">
        <v>56</v>
      </c>
      <c r="C19" s="6" t="s">
        <v>57</v>
      </c>
      <c r="D19" s="15">
        <v>44230.0</v>
      </c>
      <c r="E19" s="9"/>
      <c r="F19" s="9"/>
      <c r="G19" s="8" t="str">
        <f t="shared" si="2"/>
        <v>#DIV/0!</v>
      </c>
      <c r="H19" s="9"/>
      <c r="I19" s="18"/>
      <c r="J19" s="18">
        <v>22.03</v>
      </c>
      <c r="K19" s="6">
        <v>0.0</v>
      </c>
      <c r="L19" s="6">
        <v>0.0</v>
      </c>
      <c r="M19" s="19">
        <v>0.0569</v>
      </c>
      <c r="N19" s="18">
        <v>114.48</v>
      </c>
      <c r="O19" s="20">
        <v>3.706197E9</v>
      </c>
      <c r="P19" s="20">
        <v>3.2094E7</v>
      </c>
      <c r="Q19" s="20">
        <v>1827000.0</v>
      </c>
    </row>
    <row r="20">
      <c r="A20" s="6">
        <v>18.0</v>
      </c>
      <c r="B20" s="4" t="s">
        <v>58</v>
      </c>
      <c r="C20" s="21">
        <v>44083.0</v>
      </c>
      <c r="D20" s="6" t="s">
        <v>59</v>
      </c>
      <c r="E20" s="9"/>
      <c r="F20" s="9"/>
      <c r="G20" s="8" t="str">
        <f t="shared" si="2"/>
        <v>#DIV/0!</v>
      </c>
      <c r="H20" s="9"/>
      <c r="I20" s="18"/>
      <c r="J20" s="18">
        <v>20.84</v>
      </c>
      <c r="K20" s="6">
        <v>0.0</v>
      </c>
      <c r="L20" s="6">
        <v>0.0</v>
      </c>
      <c r="M20" s="10">
        <v>0.222</v>
      </c>
      <c r="N20" s="18">
        <v>1.4</v>
      </c>
      <c r="O20" s="20">
        <v>1.12525E9</v>
      </c>
      <c r="P20" s="20">
        <v>4.68013E8</v>
      </c>
      <c r="Q20" s="20">
        <v>1.04E8</v>
      </c>
    </row>
    <row r="21">
      <c r="A21" s="6">
        <v>19.0</v>
      </c>
      <c r="B21" s="4" t="s">
        <v>60</v>
      </c>
      <c r="C21" s="6" t="s">
        <v>61</v>
      </c>
      <c r="D21" s="6" t="s">
        <v>62</v>
      </c>
      <c r="E21" s="9"/>
      <c r="F21" s="9"/>
      <c r="G21" s="8" t="str">
        <f t="shared" si="2"/>
        <v>#DIV/0!</v>
      </c>
      <c r="H21" s="9"/>
      <c r="I21" s="18"/>
      <c r="J21" s="18">
        <v>21.49</v>
      </c>
      <c r="K21" s="6">
        <v>0.0</v>
      </c>
      <c r="L21" s="6">
        <v>0.0</v>
      </c>
      <c r="M21" s="10">
        <v>0.162</v>
      </c>
      <c r="N21" s="18">
        <v>0.63</v>
      </c>
      <c r="O21" s="20">
        <v>2.142645E9</v>
      </c>
      <c r="P21" s="20">
        <v>1.311881E9</v>
      </c>
      <c r="Q21" s="20">
        <v>2.12499E8</v>
      </c>
    </row>
    <row r="22">
      <c r="A22" s="6">
        <v>20.0</v>
      </c>
      <c r="B22" s="4" t="s">
        <v>27</v>
      </c>
      <c r="C22" s="21">
        <v>44021.0</v>
      </c>
      <c r="D22" s="6" t="s">
        <v>63</v>
      </c>
      <c r="E22" s="9"/>
      <c r="F22" s="9"/>
      <c r="G22" s="8" t="str">
        <f t="shared" si="2"/>
        <v>#DIV/0!</v>
      </c>
      <c r="H22" s="9"/>
      <c r="I22" s="18"/>
      <c r="J22" s="18">
        <v>16.58</v>
      </c>
      <c r="K22" s="6">
        <v>0.0</v>
      </c>
      <c r="L22" s="6">
        <v>1.0</v>
      </c>
      <c r="M22" s="10">
        <v>-3.032</v>
      </c>
      <c r="N22" s="6">
        <v>2.56</v>
      </c>
      <c r="O22" s="20">
        <v>1.5809E7</v>
      </c>
      <c r="P22" s="20">
        <v>4437000.0</v>
      </c>
      <c r="Q22" s="11">
        <v>-1.3451E7</v>
      </c>
    </row>
    <row r="23">
      <c r="A23" s="6">
        <v>21.0</v>
      </c>
      <c r="B23" s="4" t="s">
        <v>64</v>
      </c>
      <c r="C23" s="6" t="s">
        <v>65</v>
      </c>
      <c r="D23" s="6" t="s">
        <v>66</v>
      </c>
      <c r="E23" s="9"/>
      <c r="F23" s="9"/>
      <c r="G23" s="8" t="str">
        <f t="shared" si="2"/>
        <v>#DIV/0!</v>
      </c>
      <c r="H23" s="9"/>
      <c r="I23" s="18"/>
      <c r="J23" s="18">
        <v>21.87</v>
      </c>
      <c r="K23" s="6">
        <v>0.0</v>
      </c>
      <c r="L23" s="6">
        <v>0.0</v>
      </c>
      <c r="M23" s="10">
        <v>-0.043</v>
      </c>
      <c r="N23" s="18">
        <v>2.74</v>
      </c>
      <c r="O23" s="20">
        <v>3.154332E9</v>
      </c>
      <c r="P23" s="20">
        <v>8.42608E8</v>
      </c>
      <c r="Q23" s="11">
        <v>-3.587E7</v>
      </c>
    </row>
    <row r="24">
      <c r="A24" s="6">
        <v>22.0</v>
      </c>
      <c r="B24" s="4" t="s">
        <v>67</v>
      </c>
      <c r="C24" s="6" t="s">
        <v>68</v>
      </c>
      <c r="D24" s="6" t="s">
        <v>69</v>
      </c>
      <c r="E24" s="9"/>
      <c r="F24" s="9"/>
      <c r="G24" s="8" t="str">
        <f t="shared" si="2"/>
        <v>#DIV/0!</v>
      </c>
      <c r="H24" s="9"/>
      <c r="I24" s="18"/>
      <c r="J24" s="18">
        <v>19.38</v>
      </c>
      <c r="K24" s="6">
        <v>1.0</v>
      </c>
      <c r="L24" s="6">
        <v>0.0</v>
      </c>
      <c r="M24" s="10">
        <v>0.115</v>
      </c>
      <c r="N24" s="18">
        <v>0.14</v>
      </c>
      <c r="O24" s="20">
        <v>2.60136E8</v>
      </c>
      <c r="P24" s="20">
        <v>2.29132E8</v>
      </c>
      <c r="Q24" s="20">
        <v>2.6348E7</v>
      </c>
    </row>
    <row r="25">
      <c r="A25" s="6">
        <v>23.0</v>
      </c>
      <c r="B25" s="4" t="s">
        <v>70</v>
      </c>
      <c r="C25" s="6" t="s">
        <v>71</v>
      </c>
      <c r="D25" s="6" t="s">
        <v>72</v>
      </c>
      <c r="E25" s="9"/>
      <c r="F25" s="9"/>
      <c r="G25" s="8" t="str">
        <f t="shared" si="2"/>
        <v>#DIV/0!</v>
      </c>
      <c r="H25" s="9"/>
      <c r="I25" s="18"/>
      <c r="J25" s="18">
        <v>18.65</v>
      </c>
      <c r="K25" s="6">
        <v>1.0</v>
      </c>
      <c r="L25" s="6">
        <v>0.0</v>
      </c>
      <c r="M25" s="6">
        <v>-16.4</v>
      </c>
      <c r="N25" s="18">
        <v>1.61</v>
      </c>
      <c r="O25" s="20">
        <v>1.25626E8</v>
      </c>
      <c r="P25" s="20">
        <v>4.8184E7</v>
      </c>
      <c r="Q25" s="11">
        <v>-7912000.0</v>
      </c>
    </row>
    <row r="26">
      <c r="A26" s="6">
        <v>24.0</v>
      </c>
      <c r="B26" s="4" t="s">
        <v>73</v>
      </c>
      <c r="C26" s="6" t="s">
        <v>74</v>
      </c>
      <c r="D26" s="6" t="s">
        <v>75</v>
      </c>
      <c r="E26" s="9"/>
      <c r="F26" s="9"/>
      <c r="G26" s="9"/>
      <c r="H26" s="9"/>
      <c r="I26" s="18"/>
      <c r="J26" s="18">
        <v>21.46</v>
      </c>
      <c r="K26" s="6">
        <v>0.0</v>
      </c>
      <c r="L26" s="6">
        <v>1.0</v>
      </c>
      <c r="M26" s="10">
        <v>0.083</v>
      </c>
      <c r="N26" s="18">
        <v>2.35</v>
      </c>
      <c r="O26" s="20">
        <v>2.088792E9</v>
      </c>
      <c r="P26" s="20">
        <v>6.23497E8</v>
      </c>
      <c r="Q26" s="20">
        <v>5.1742E7</v>
      </c>
    </row>
    <row r="27">
      <c r="A27" s="6">
        <v>25.0</v>
      </c>
      <c r="B27" s="4" t="s">
        <v>76</v>
      </c>
      <c r="C27" s="21">
        <v>44082.0</v>
      </c>
      <c r="D27" s="6" t="s">
        <v>77</v>
      </c>
      <c r="E27" s="9"/>
      <c r="F27" s="9"/>
      <c r="G27" s="9"/>
      <c r="H27" s="9"/>
      <c r="I27" s="18"/>
      <c r="J27" s="18">
        <v>17.57</v>
      </c>
      <c r="K27" s="6">
        <v>0.0</v>
      </c>
      <c r="L27" s="6">
        <v>0.0</v>
      </c>
      <c r="M27" s="10">
        <v>-7.659</v>
      </c>
      <c r="N27" s="18">
        <v>0.16</v>
      </c>
      <c r="O27" s="20">
        <v>4.2563E7</v>
      </c>
      <c r="P27" s="20">
        <v>3.6757E7</v>
      </c>
      <c r="Q27" s="11">
        <v>-2.81543E8</v>
      </c>
    </row>
    <row r="28">
      <c r="A28" s="6">
        <v>26.0</v>
      </c>
      <c r="B28" s="4" t="s">
        <v>78</v>
      </c>
      <c r="C28" s="21">
        <v>43869.0</v>
      </c>
      <c r="D28" s="6" t="s">
        <v>69</v>
      </c>
      <c r="E28" s="9"/>
      <c r="F28" s="9"/>
      <c r="G28" s="9"/>
      <c r="H28" s="9"/>
      <c r="I28" s="18"/>
      <c r="J28" s="18">
        <v>20.01</v>
      </c>
      <c r="K28" s="6">
        <v>1.0</v>
      </c>
      <c r="L28" s="6">
        <v>0.0</v>
      </c>
      <c r="M28" s="10">
        <v>-0.079</v>
      </c>
      <c r="N28" s="18">
        <v>3.28</v>
      </c>
      <c r="O28" s="20">
        <v>4.92098E8</v>
      </c>
      <c r="P28" s="20">
        <v>1.14915E8</v>
      </c>
      <c r="Q28" s="11">
        <v>-9094000.0</v>
      </c>
    </row>
    <row r="29">
      <c r="A29" s="6">
        <v>27.0</v>
      </c>
      <c r="B29" s="4" t="s">
        <v>79</v>
      </c>
      <c r="C29" s="15">
        <v>45941.0</v>
      </c>
      <c r="D29" s="6" t="s">
        <v>80</v>
      </c>
      <c r="E29" s="9"/>
      <c r="F29" s="9"/>
      <c r="G29" s="9"/>
      <c r="H29" s="9"/>
      <c r="I29" s="18"/>
      <c r="J29" s="18">
        <v>21.37</v>
      </c>
      <c r="K29" s="6">
        <v>0.0</v>
      </c>
      <c r="L29" s="6">
        <v>0.0</v>
      </c>
      <c r="M29" s="19">
        <v>0.074</v>
      </c>
      <c r="N29" s="18">
        <v>3.76</v>
      </c>
      <c r="O29" s="20">
        <v>1.902737E9</v>
      </c>
      <c r="P29" s="20">
        <v>3.99985E8</v>
      </c>
      <c r="Q29" s="20">
        <v>2.9723E7</v>
      </c>
    </row>
    <row r="30">
      <c r="A30" s="6">
        <v>28.0</v>
      </c>
      <c r="B30" s="4" t="s">
        <v>81</v>
      </c>
      <c r="C30" s="6" t="s">
        <v>82</v>
      </c>
      <c r="D30" s="6" t="s">
        <v>83</v>
      </c>
      <c r="E30" s="9"/>
      <c r="F30" s="9"/>
      <c r="G30" s="9"/>
      <c r="H30" s="9"/>
      <c r="I30" s="9"/>
      <c r="J30" s="9"/>
      <c r="K30" s="6">
        <v>1.0</v>
      </c>
      <c r="L30" s="6">
        <v>0.0</v>
      </c>
      <c r="M30" s="9"/>
      <c r="N30" s="9"/>
      <c r="O30" s="11">
        <v>353000.0</v>
      </c>
      <c r="P30" s="11">
        <v>-5536000.0</v>
      </c>
      <c r="Q30" s="11">
        <v>-347000.0</v>
      </c>
    </row>
    <row r="31">
      <c r="A31" s="6">
        <v>29.0</v>
      </c>
      <c r="B31" s="4" t="s">
        <v>84</v>
      </c>
      <c r="C31" s="6" t="s">
        <v>85</v>
      </c>
      <c r="D31" s="6" t="s">
        <v>86</v>
      </c>
      <c r="E31" s="9"/>
      <c r="F31" s="9"/>
      <c r="G31" s="9"/>
      <c r="H31" s="9"/>
      <c r="I31" s="9"/>
      <c r="J31" s="9"/>
      <c r="K31" s="6">
        <v>0.0</v>
      </c>
      <c r="L31" s="6">
        <v>0.0</v>
      </c>
      <c r="M31" s="9"/>
      <c r="N31" s="9"/>
      <c r="O31" s="11">
        <v>3.673485E9</v>
      </c>
      <c r="P31" s="11">
        <v>1.015459E9</v>
      </c>
      <c r="Q31" s="11">
        <f>761000*4</f>
        <v>3044000</v>
      </c>
    </row>
    <row r="32">
      <c r="A32" s="6">
        <v>30.0</v>
      </c>
      <c r="B32" s="4" t="s">
        <v>87</v>
      </c>
      <c r="C32" s="6" t="s">
        <v>88</v>
      </c>
      <c r="D32" s="6" t="s">
        <v>89</v>
      </c>
      <c r="E32" s="9"/>
      <c r="F32" s="9"/>
      <c r="G32" s="9"/>
      <c r="H32" s="9"/>
      <c r="I32" s="9"/>
      <c r="J32" s="9"/>
      <c r="K32" s="6">
        <v>0.0</v>
      </c>
      <c r="L32" s="6">
        <v>0.0</v>
      </c>
      <c r="M32" s="9"/>
      <c r="N32" s="9"/>
      <c r="O32" s="11">
        <v>1.350793E9</v>
      </c>
      <c r="P32" s="11">
        <v>1.350793E9</v>
      </c>
      <c r="Q32" s="11">
        <f>44526000/0.75</f>
        <v>59368000</v>
      </c>
    </row>
    <row r="33">
      <c r="A33" s="6">
        <v>31.0</v>
      </c>
      <c r="B33" s="4" t="s">
        <v>90</v>
      </c>
      <c r="C33" s="6" t="s">
        <v>91</v>
      </c>
      <c r="D33" s="6" t="s">
        <v>89</v>
      </c>
      <c r="E33" s="9"/>
      <c r="F33" s="9"/>
      <c r="G33" s="9"/>
      <c r="H33" s="9"/>
      <c r="I33" s="9"/>
      <c r="J33" s="9"/>
      <c r="K33" s="6">
        <v>0.0</v>
      </c>
      <c r="L33" s="6">
        <v>0.0</v>
      </c>
      <c r="M33" s="9"/>
      <c r="N33" s="9"/>
      <c r="O33" s="11">
        <v>9.3069E7</v>
      </c>
      <c r="P33" s="11">
        <v>7.8682E7</v>
      </c>
      <c r="Q33" s="11">
        <f>36867000*2</f>
        <v>73734000</v>
      </c>
    </row>
    <row r="34">
      <c r="A34" s="22">
        <v>32.0</v>
      </c>
      <c r="B34" s="23" t="s">
        <v>92</v>
      </c>
      <c r="C34" s="6" t="s">
        <v>93</v>
      </c>
      <c r="D34" s="6" t="s">
        <v>94</v>
      </c>
      <c r="E34" s="9"/>
      <c r="F34" s="9"/>
      <c r="G34" s="9"/>
      <c r="H34" s="9"/>
      <c r="I34" s="9"/>
      <c r="J34" s="9"/>
      <c r="K34" s="6">
        <v>0.0</v>
      </c>
      <c r="L34" s="6">
        <v>1.0</v>
      </c>
      <c r="M34" s="9"/>
      <c r="N34" s="9"/>
      <c r="O34" s="11">
        <v>2.3215E10</v>
      </c>
      <c r="P34" s="11">
        <v>2.373E9</v>
      </c>
      <c r="Q34" s="11">
        <v>1.0E7</v>
      </c>
    </row>
    <row r="35">
      <c r="A35" s="22">
        <v>33.0</v>
      </c>
      <c r="B35" s="23" t="s">
        <v>95</v>
      </c>
      <c r="C35" s="6" t="s">
        <v>96</v>
      </c>
      <c r="D35" s="6" t="s">
        <v>83</v>
      </c>
      <c r="E35" s="9"/>
      <c r="F35" s="9"/>
      <c r="G35" s="9"/>
      <c r="H35" s="9"/>
      <c r="I35" s="9"/>
      <c r="J35" s="9"/>
      <c r="K35" s="6">
        <v>1.0</v>
      </c>
      <c r="L35" s="6">
        <v>0.0</v>
      </c>
      <c r="M35" s="9"/>
      <c r="N35" s="9"/>
      <c r="O35" s="11">
        <v>8665000.0</v>
      </c>
      <c r="P35" s="11">
        <v>-1136000.0</v>
      </c>
      <c r="Q35" s="11">
        <v>-2878000.0</v>
      </c>
    </row>
    <row r="36">
      <c r="A36" s="22">
        <v>34.0</v>
      </c>
      <c r="B36" s="23" t="s">
        <v>97</v>
      </c>
      <c r="C36" s="6" t="s">
        <v>98</v>
      </c>
      <c r="D36" s="6" t="s">
        <v>99</v>
      </c>
      <c r="E36" s="9"/>
      <c r="F36" s="9"/>
      <c r="G36" s="9"/>
      <c r="H36" s="9"/>
      <c r="I36" s="9"/>
      <c r="J36" s="9"/>
      <c r="K36" s="6">
        <v>0.0</v>
      </c>
      <c r="L36" s="6">
        <v>0.0</v>
      </c>
      <c r="M36" s="9"/>
      <c r="N36" s="9"/>
      <c r="O36" s="11">
        <v>1441000.0</v>
      </c>
      <c r="P36" s="11">
        <v>26000.0</v>
      </c>
      <c r="Q36" s="11">
        <v>2092000.0</v>
      </c>
    </row>
    <row r="37">
      <c r="A37" s="22">
        <v>35.0</v>
      </c>
      <c r="B37" s="23" t="s">
        <v>100</v>
      </c>
      <c r="C37" s="6" t="s">
        <v>101</v>
      </c>
      <c r="D37" s="6" t="s">
        <v>102</v>
      </c>
      <c r="E37" s="9"/>
      <c r="F37" s="9"/>
      <c r="G37" s="9"/>
      <c r="H37" s="9"/>
      <c r="I37" s="9"/>
      <c r="J37" s="9"/>
      <c r="K37" s="6">
        <v>0.0</v>
      </c>
      <c r="L37" s="6">
        <v>0.0</v>
      </c>
      <c r="M37" s="9"/>
      <c r="N37" s="9"/>
      <c r="O37" s="11">
        <v>1.1675434E10</v>
      </c>
      <c r="P37" s="11">
        <v>5.39819E9</v>
      </c>
      <c r="Q37" s="11">
        <v>5.52111E8</v>
      </c>
    </row>
    <row r="38">
      <c r="A38" s="22">
        <v>36.0</v>
      </c>
      <c r="B38" s="23" t="s">
        <v>103</v>
      </c>
      <c r="C38" s="21">
        <v>44110.0</v>
      </c>
      <c r="D38" s="6" t="s">
        <v>104</v>
      </c>
      <c r="E38" s="9"/>
      <c r="F38" s="9"/>
      <c r="G38" s="9"/>
      <c r="H38" s="9"/>
      <c r="I38" s="9"/>
      <c r="J38" s="9"/>
      <c r="K38" s="6">
        <v>0.0</v>
      </c>
      <c r="L38" s="6">
        <v>1.0</v>
      </c>
      <c r="M38" s="9"/>
      <c r="N38" s="9"/>
      <c r="O38" s="11">
        <v>7554000.0</v>
      </c>
      <c r="P38" s="11">
        <v>6426000.0</v>
      </c>
      <c r="Q38" s="11">
        <v>-1.0836E7</v>
      </c>
    </row>
    <row r="39">
      <c r="A39" s="22">
        <v>37.0</v>
      </c>
      <c r="B39" s="23" t="s">
        <v>105</v>
      </c>
      <c r="C39" s="6" t="s">
        <v>106</v>
      </c>
      <c r="D39" s="6" t="s">
        <v>107</v>
      </c>
      <c r="E39" s="9"/>
      <c r="F39" s="9"/>
      <c r="G39" s="9"/>
      <c r="H39" s="9"/>
      <c r="I39" s="9"/>
      <c r="J39" s="9"/>
      <c r="K39" s="6">
        <v>0.0</v>
      </c>
      <c r="L39" s="6">
        <v>1.0</v>
      </c>
      <c r="M39" s="9"/>
      <c r="N39" s="9"/>
      <c r="O39" s="11">
        <v>4.2783E8</v>
      </c>
      <c r="P39" s="11">
        <v>8.6152E7</v>
      </c>
      <c r="Q39" s="11">
        <v>-923000.0</v>
      </c>
    </row>
    <row r="40">
      <c r="A40" s="22">
        <v>38.0</v>
      </c>
      <c r="B40" s="23" t="s">
        <v>108</v>
      </c>
      <c r="C40" s="6" t="s">
        <v>109</v>
      </c>
      <c r="D40" s="6" t="s">
        <v>110</v>
      </c>
      <c r="E40" s="9"/>
      <c r="F40" s="9"/>
      <c r="G40" s="9"/>
      <c r="H40" s="9"/>
      <c r="I40" s="9"/>
      <c r="J40" s="9"/>
      <c r="K40" s="6">
        <v>1.0</v>
      </c>
      <c r="L40" s="6">
        <v>0.0</v>
      </c>
      <c r="M40" s="9"/>
      <c r="N40" s="9"/>
      <c r="O40" s="11">
        <v>4.08418E9</v>
      </c>
      <c r="P40" s="11">
        <v>1.107472E9</v>
      </c>
      <c r="Q40" s="11">
        <v>2.46855E8</v>
      </c>
    </row>
    <row r="41">
      <c r="A41" s="22">
        <v>39.0</v>
      </c>
      <c r="B41" s="23" t="s">
        <v>111</v>
      </c>
      <c r="C41" s="6" t="s">
        <v>112</v>
      </c>
      <c r="D41" s="6" t="s">
        <v>113</v>
      </c>
      <c r="E41" s="9"/>
      <c r="F41" s="9"/>
      <c r="G41" s="9"/>
      <c r="H41" s="9"/>
      <c r="I41" s="9"/>
      <c r="J41" s="9"/>
      <c r="K41" s="6">
        <v>0.0</v>
      </c>
      <c r="L41" s="6">
        <v>0.0</v>
      </c>
      <c r="M41" s="9"/>
      <c r="N41" s="9"/>
      <c r="O41" s="11">
        <v>4.69134E11</v>
      </c>
      <c r="P41" s="11">
        <v>3.5874E10</v>
      </c>
      <c r="Q41" s="11">
        <v>3.56E9</v>
      </c>
    </row>
    <row r="42">
      <c r="A42" s="22">
        <v>40.0</v>
      </c>
      <c r="B42" s="23" t="s">
        <v>114</v>
      </c>
      <c r="C42" s="6" t="s">
        <v>115</v>
      </c>
      <c r="D42" s="6" t="s">
        <v>116</v>
      </c>
      <c r="E42" s="9"/>
      <c r="F42" s="9"/>
      <c r="G42" s="9"/>
      <c r="H42" s="9"/>
      <c r="I42" s="9"/>
      <c r="J42" s="9"/>
      <c r="K42" s="6">
        <v>0.0</v>
      </c>
      <c r="L42" s="6">
        <v>1.0</v>
      </c>
      <c r="M42" s="9"/>
      <c r="N42" s="9"/>
      <c r="O42" s="11">
        <v>1.6365E7</v>
      </c>
      <c r="P42" s="11">
        <v>1.0573E7</v>
      </c>
      <c r="Q42" s="11">
        <v>-1327000.0</v>
      </c>
    </row>
    <row r="43">
      <c r="A43" s="22">
        <v>41.0</v>
      </c>
      <c r="B43" s="23" t="s">
        <v>117</v>
      </c>
      <c r="C43" s="6" t="s">
        <v>118</v>
      </c>
      <c r="D43" s="6" t="s">
        <v>119</v>
      </c>
      <c r="E43" s="9"/>
      <c r="F43" s="9"/>
      <c r="G43" s="9"/>
      <c r="H43" s="9"/>
      <c r="I43" s="9"/>
      <c r="J43" s="9"/>
      <c r="K43" s="6">
        <v>0.0</v>
      </c>
      <c r="L43" s="6">
        <v>0.0</v>
      </c>
      <c r="M43" s="9"/>
      <c r="N43" s="9"/>
      <c r="O43" s="11">
        <v>9.96752E8</v>
      </c>
      <c r="P43" s="11">
        <v>1.74641E8</v>
      </c>
      <c r="Q43" s="11">
        <v>3.0645E7</v>
      </c>
    </row>
    <row r="44">
      <c r="A44" s="22">
        <v>42.0</v>
      </c>
      <c r="B44" s="23" t="s">
        <v>120</v>
      </c>
      <c r="C44" s="6" t="s">
        <v>121</v>
      </c>
      <c r="D44" s="6" t="s">
        <v>122</v>
      </c>
      <c r="E44" s="9"/>
      <c r="F44" s="9"/>
      <c r="G44" s="9"/>
      <c r="H44" s="9"/>
      <c r="I44" s="9"/>
      <c r="J44" s="9"/>
      <c r="K44" s="6">
        <v>0.0</v>
      </c>
      <c r="L44" s="6">
        <v>1.0</v>
      </c>
      <c r="M44" s="9"/>
      <c r="N44" s="9"/>
      <c r="O44" s="20">
        <v>1.58862E8</v>
      </c>
      <c r="P44" s="20">
        <v>9.1207E7</v>
      </c>
      <c r="Q44" s="20">
        <v>4028000.0</v>
      </c>
    </row>
    <row r="45">
      <c r="A45" s="22">
        <v>43.0</v>
      </c>
      <c r="B45" s="23" t="s">
        <v>123</v>
      </c>
      <c r="C45" s="6" t="s">
        <v>124</v>
      </c>
      <c r="D45" s="6" t="s">
        <v>125</v>
      </c>
      <c r="E45" s="9"/>
      <c r="F45" s="9"/>
      <c r="G45" s="9"/>
      <c r="H45" s="9"/>
      <c r="I45" s="9"/>
      <c r="J45" s="9"/>
      <c r="K45" s="6">
        <v>0.0</v>
      </c>
      <c r="L45" s="6">
        <v>1.0</v>
      </c>
      <c r="M45" s="9"/>
      <c r="N45" s="9"/>
      <c r="O45" s="11">
        <v>5.24103676E8</v>
      </c>
      <c r="P45" s="11">
        <v>1.0216188E7</v>
      </c>
      <c r="Q45" s="11">
        <v>1145578.0</v>
      </c>
    </row>
    <row r="46">
      <c r="A46" s="22">
        <v>44.0</v>
      </c>
      <c r="B46" s="23" t="s">
        <v>126</v>
      </c>
      <c r="C46" s="6" t="s">
        <v>127</v>
      </c>
      <c r="D46" s="6" t="s">
        <v>128</v>
      </c>
      <c r="E46" s="9"/>
      <c r="F46" s="9"/>
      <c r="G46" s="9"/>
      <c r="H46" s="9"/>
      <c r="I46" s="9"/>
      <c r="J46" s="9"/>
      <c r="K46" s="6">
        <v>0.0</v>
      </c>
      <c r="L46" s="6">
        <v>1.0</v>
      </c>
      <c r="M46" s="9"/>
      <c r="N46" s="9"/>
      <c r="O46" s="11">
        <v>1.14206771E9</v>
      </c>
      <c r="P46" s="11">
        <v>9.8312768E7</v>
      </c>
      <c r="Q46" s="11">
        <v>7.8800678E7</v>
      </c>
    </row>
    <row r="47">
      <c r="A47" s="22">
        <v>45.0</v>
      </c>
      <c r="B47" s="23" t="s">
        <v>129</v>
      </c>
      <c r="C47" s="6" t="s">
        <v>130</v>
      </c>
      <c r="D47" s="6" t="s">
        <v>131</v>
      </c>
      <c r="E47" s="9"/>
      <c r="F47" s="9"/>
      <c r="G47" s="9"/>
      <c r="H47" s="9"/>
      <c r="I47" s="9"/>
      <c r="J47" s="9"/>
      <c r="K47" s="6">
        <v>0.0</v>
      </c>
      <c r="L47" s="6">
        <v>0.0</v>
      </c>
      <c r="M47" s="9"/>
      <c r="N47" s="9"/>
      <c r="O47" s="11">
        <v>8.9706296E7</v>
      </c>
      <c r="P47" s="11">
        <v>8.3209044E7</v>
      </c>
      <c r="Q47" s="11">
        <v>-4949608.0</v>
      </c>
    </row>
    <row r="48">
      <c r="A48" s="22">
        <v>46.0</v>
      </c>
      <c r="B48" s="23" t="s">
        <v>132</v>
      </c>
      <c r="C48" s="24" t="s">
        <v>133</v>
      </c>
      <c r="D48" s="24" t="s">
        <v>134</v>
      </c>
      <c r="E48" s="25"/>
      <c r="F48" s="25"/>
      <c r="G48" s="25"/>
      <c r="H48" s="25"/>
      <c r="I48" s="25"/>
      <c r="J48" s="25"/>
      <c r="K48" s="24">
        <v>1.0</v>
      </c>
      <c r="L48" s="24">
        <v>0.0</v>
      </c>
      <c r="M48" s="25"/>
      <c r="N48" s="25"/>
      <c r="O48" s="26"/>
      <c r="P48" s="26"/>
      <c r="Q48" s="26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22">
        <v>47.0</v>
      </c>
      <c r="B49" s="23" t="s">
        <v>135</v>
      </c>
      <c r="C49" s="6" t="s">
        <v>136</v>
      </c>
      <c r="D49" s="6" t="s">
        <v>116</v>
      </c>
      <c r="E49" s="9"/>
      <c r="F49" s="9"/>
      <c r="G49" s="9"/>
      <c r="H49" s="9"/>
      <c r="I49" s="9"/>
      <c r="J49" s="9"/>
      <c r="K49" s="6">
        <v>1.0</v>
      </c>
      <c r="L49" s="6">
        <v>0.0</v>
      </c>
      <c r="M49" s="9"/>
      <c r="N49" s="9"/>
      <c r="O49" s="11">
        <v>8.3057E7</v>
      </c>
      <c r="P49" s="11">
        <v>7.2027E7</v>
      </c>
      <c r="Q49" s="11">
        <v>-9034000.0</v>
      </c>
    </row>
    <row r="50">
      <c r="A50" s="22">
        <v>48.0</v>
      </c>
      <c r="B50" s="23" t="s">
        <v>137</v>
      </c>
      <c r="C50" s="6" t="s">
        <v>138</v>
      </c>
      <c r="D50" s="6" t="s">
        <v>139</v>
      </c>
      <c r="E50" s="9"/>
      <c r="F50" s="9"/>
      <c r="G50" s="9"/>
      <c r="H50" s="9"/>
      <c r="I50" s="9"/>
      <c r="J50" s="9"/>
      <c r="K50" s="6">
        <v>0.0</v>
      </c>
      <c r="L50" s="6">
        <v>1.0</v>
      </c>
      <c r="M50" s="9"/>
      <c r="N50" s="9"/>
      <c r="O50" s="11">
        <v>4.7922E7</v>
      </c>
      <c r="P50" s="11">
        <v>4.7504E7</v>
      </c>
      <c r="Q50" s="11">
        <v>878000.0</v>
      </c>
    </row>
    <row r="51">
      <c r="A51" s="22">
        <v>49.0</v>
      </c>
      <c r="B51" s="23" t="s">
        <v>140</v>
      </c>
      <c r="C51" s="6" t="s">
        <v>141</v>
      </c>
      <c r="D51" s="6" t="s">
        <v>142</v>
      </c>
      <c r="E51" s="9"/>
      <c r="F51" s="9"/>
      <c r="G51" s="9"/>
      <c r="H51" s="9"/>
      <c r="I51" s="9"/>
      <c r="J51" s="9"/>
      <c r="K51" s="6">
        <v>0.0</v>
      </c>
      <c r="L51" s="6">
        <v>0.0</v>
      </c>
      <c r="M51" s="9"/>
      <c r="N51" s="9"/>
      <c r="O51" s="11">
        <v>1.032337E10</v>
      </c>
      <c r="P51" s="11">
        <v>3.470947E9</v>
      </c>
      <c r="Q51" s="11">
        <v>6.4389E7</v>
      </c>
    </row>
    <row r="52">
      <c r="A52" s="22">
        <v>50.0</v>
      </c>
      <c r="B52" s="23" t="s">
        <v>143</v>
      </c>
      <c r="C52" s="6" t="s">
        <v>144</v>
      </c>
      <c r="D52" s="6" t="s">
        <v>145</v>
      </c>
      <c r="E52" s="9"/>
      <c r="F52" s="9"/>
      <c r="G52" s="9"/>
      <c r="H52" s="9"/>
      <c r="I52" s="9"/>
      <c r="J52" s="9"/>
      <c r="K52" s="6">
        <v>0.0</v>
      </c>
      <c r="L52" s="6">
        <v>0.0</v>
      </c>
      <c r="M52" s="9"/>
      <c r="N52" s="9"/>
      <c r="O52" s="20">
        <v>1.19515E8</v>
      </c>
      <c r="P52" s="11">
        <v>1.22577E8</v>
      </c>
      <c r="Q52" s="11">
        <v>120000.0</v>
      </c>
    </row>
    <row r="53">
      <c r="B53" s="5"/>
      <c r="O53" s="28"/>
    </row>
  </sheetData>
  <hyperlinks>
    <hyperlink r:id="rId1" ref="C3"/>
    <hyperlink r:id="rId2" ref="D3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D9"/>
  </hyperlinks>
  <drawing r:id="rId15"/>
</worksheet>
</file>